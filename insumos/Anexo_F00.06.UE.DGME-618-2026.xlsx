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581C703-93C9-4446-8866-347AFDE37FA7}" xr6:coauthVersionLast="47" xr6:coauthVersionMax="47" xr10:uidLastSave="{00000000-0000-0000-0000-000000000000}"/>
  <bookViews>
    <workbookView xWindow="-120" yWindow="-120" windowWidth="20730" windowHeight="11040" xr2:uid="{84749EEF-5DB6-4D32-B0AD-BD660D23BA1B}"/>
  </bookViews>
  <sheets>
    <sheet name="Tab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54" i="1" s="1"/>
  <c r="B55" i="1" s="1"/>
  <c r="B45" i="1" l="1"/>
  <c r="B46" i="1" s="1"/>
  <c r="B47" i="1" s="1"/>
  <c r="B69" i="1" l="1"/>
  <c r="B70" i="1" s="1"/>
  <c r="B71" i="1" s="1"/>
  <c r="B61" i="1"/>
  <c r="B62" i="1" s="1"/>
  <c r="B63" i="1" s="1"/>
  <c r="D36" i="1" l="1"/>
  <c r="E36" i="1" s="1"/>
  <c r="F36" i="1" s="1"/>
  <c r="D29" i="1"/>
  <c r="E29" i="1" s="1"/>
  <c r="F29" i="1" s="1"/>
  <c r="D20" i="1"/>
  <c r="E20" i="1" s="1"/>
  <c r="F20" i="1" s="1"/>
  <c r="D11" i="1" l="1"/>
  <c r="E11" i="1" s="1"/>
  <c r="F11" i="1" s="1"/>
  <c r="D2" i="1" l="1"/>
  <c r="E2" i="1" s="1"/>
  <c r="F2" i="1" s="1"/>
</calcChain>
</file>

<file path=xl/sharedStrings.xml><?xml version="1.0" encoding="utf-8"?>
<sst xmlns="http://schemas.openxmlformats.org/spreadsheetml/2006/main" count="57" uniqueCount="35">
  <si>
    <t>SSB</t>
  </si>
  <si>
    <t>SSC</t>
  </si>
  <si>
    <t>USPC</t>
  </si>
  <si>
    <t>Participante / Año</t>
  </si>
  <si>
    <t>*Unidades en MWh.</t>
  </si>
  <si>
    <t>Tabla 1. Consumo anual por tipo de Participante del MEM.</t>
  </si>
  <si>
    <t>CIL</t>
  </si>
  <si>
    <t>AA</t>
  </si>
  <si>
    <t>Hidroeléctrica</t>
  </si>
  <si>
    <t>Nucleoeléctrica</t>
  </si>
  <si>
    <t>Geotermoeléctrica</t>
  </si>
  <si>
    <t>Fotovoltaica</t>
  </si>
  <si>
    <t>Eólica</t>
  </si>
  <si>
    <t>Tabla 2. Generación de energía eléctrica limpia neta de la Empresa Pública del Estado (CFE).</t>
  </si>
  <si>
    <t>Tabla 3. Otorgamiento de CEL por tecnología de la Empresa Pública del Estado (CFE).</t>
  </si>
  <si>
    <t>Tecnología / Año</t>
  </si>
  <si>
    <t>*Unidades en CEL.</t>
  </si>
  <si>
    <t>Cogeneración</t>
  </si>
  <si>
    <t>Ciclo Combinado</t>
  </si>
  <si>
    <t>No se otorga CEL a la tecnología de Ciclo Combinado.</t>
  </si>
  <si>
    <t>Tabla 4. Generación de energía eléctrica limpia neta de COG, CC y BIO.</t>
  </si>
  <si>
    <t>Tabla 5. Otorgamiento de CEL por tecnología de COG, CC y BIO.</t>
  </si>
  <si>
    <t>Biocombustibles</t>
  </si>
  <si>
    <t>Año</t>
  </si>
  <si>
    <t>Otorgamiento</t>
  </si>
  <si>
    <t>Inscrita</t>
  </si>
  <si>
    <t>No inscrita</t>
  </si>
  <si>
    <t>%ELC</t>
  </si>
  <si>
    <t>Generación</t>
  </si>
  <si>
    <t>*Unidades en porcentaje y MWh.</t>
  </si>
  <si>
    <t>Liquidación</t>
  </si>
  <si>
    <t>Tabla 6. %ELC promedio y generación anual de tecnología de Cogeneración.</t>
  </si>
  <si>
    <t>Tabla 7. Generación y liquidación anual de Permisionarios como Generador Limpio y Participante Obligado.</t>
  </si>
  <si>
    <t>Tabla 8. Otorgamiento de CEL a la GLD.</t>
  </si>
  <si>
    <t>Tabla 9. Comparativa de generación GLD.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</si>
</sst>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 Narrow"/>
      <family val="2"/>
    </font>
    <font>
      <sz val="8"/>
      <color theme="1"/>
      <name val="Aptos Narrow"/>
      <family val="2"/>
      <scheme val="minor"/>
    </font>
    <font>
      <sz val="8"/>
      <color rgb="FF543F3D"/>
      <name val="Montserrat"/>
    </font>
    <font>
      <b/>
      <sz val="8"/>
      <name val="Gisha"/>
      <family val="2"/>
      <charset val="177"/>
    </font>
    <font>
      <sz val="8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F2F2F2"/>
      </right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22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1" applyFont="1"/>
    <xf numFmtId="43" fontId="0" fillId="0" borderId="0" xfId="1" applyFont="1" applyBorder="1"/>
    <xf numFmtId="0" fontId="0" fillId="0" borderId="11" xfId="0" applyBorder="1" applyAlignment="1">
      <alignment horizontal="left" vertical="center"/>
    </xf>
    <xf numFmtId="43" fontId="0" fillId="0" borderId="11" xfId="1" applyFont="1" applyBorder="1"/>
    <xf numFmtId="43" fontId="0" fillId="0" borderId="0" xfId="1" applyFont="1" applyAlignment="1">
      <alignment vertical="center"/>
    </xf>
    <xf numFmtId="43" fontId="0" fillId="0" borderId="11" xfId="1" applyFont="1" applyBorder="1" applyAlignment="1">
      <alignment vertical="center"/>
    </xf>
    <xf numFmtId="4" fontId="0" fillId="0" borderId="0" xfId="0" applyNumberFormat="1"/>
    <xf numFmtId="164" fontId="0" fillId="0" borderId="11" xfId="1" applyNumberFormat="1" applyFont="1" applyBorder="1"/>
    <xf numFmtId="0" fontId="15" fillId="0" borderId="0" xfId="0" applyFont="1"/>
    <xf numFmtId="0" fontId="20" fillId="0" borderId="12" xfId="36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64" fontId="0" fillId="0" borderId="0" xfId="1" applyNumberFormat="1" applyFont="1"/>
    <xf numFmtId="0" fontId="18" fillId="0" borderId="0" xfId="0" applyFont="1" applyAlignment="1">
      <alignment horizontal="left" vertical="center" wrapText="1"/>
    </xf>
    <xf numFmtId="164" fontId="0" fillId="0" borderId="11" xfId="1" applyNumberFormat="1" applyFont="1" applyBorder="1" applyAlignment="1">
      <alignment vertical="center"/>
    </xf>
    <xf numFmtId="0" fontId="19" fillId="0" borderId="13" xfId="36" applyFont="1" applyBorder="1" applyAlignment="1">
      <alignment horizontal="left" vertical="center" wrapText="1"/>
    </xf>
    <xf numFmtId="43" fontId="0" fillId="0" borderId="0" xfId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33" borderId="10" xfId="0" applyFill="1" applyBorder="1" applyAlignment="1">
      <alignment horizontal="center"/>
    </xf>
  </cellXfs>
  <cellStyles count="44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38" xr:uid="{4BF5EC2B-1283-4BBF-B3B7-587A166B064F}"/>
    <cellStyle name="60% - Énfasis2 2" xfId="39" xr:uid="{F7A27E51-51EF-41C1-B8B0-D6F821AA8178}"/>
    <cellStyle name="60% - Énfasis3 2" xfId="40" xr:uid="{40A9E265-E0C8-44CA-8CC8-132E8C10E18E}"/>
    <cellStyle name="60% - Énfasis4 2" xfId="41" xr:uid="{3F6082B6-A4AC-41B9-A20A-D84D0E55069B}"/>
    <cellStyle name="60% - Énfasis5 2" xfId="42" xr:uid="{F5EC94F0-C78E-4F15-A3E1-08115A609991}"/>
    <cellStyle name="60% - Énfasis6 2" xfId="43" xr:uid="{410E0843-F9FB-4090-8626-4DC869ED4C02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Millares" xfId="1" builtinId="3"/>
    <cellStyle name="Neutral 2" xfId="37" xr:uid="{F0C39D49-1E42-4D61-A0EC-E19007C5307C}"/>
    <cellStyle name="Normal" xfId="0" builtinId="0"/>
    <cellStyle name="Normal 2" xfId="36" xr:uid="{465CF07F-D554-4EA7-B7F1-2531AA163CDD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7B89-CC5B-424F-AFA1-F18C6D34B879}">
  <dimension ref="A1:F74"/>
  <sheetViews>
    <sheetView tabSelected="1" topLeftCell="A49" workbookViewId="0">
      <selection activeCell="C51" sqref="C51:D51"/>
    </sheetView>
  </sheetViews>
  <sheetFormatPr baseColWidth="10" defaultRowHeight="15" x14ac:dyDescent="0.25"/>
  <cols>
    <col min="1" max="1" width="3.7109375" customWidth="1"/>
    <col min="2" max="2" width="18.28515625" customWidth="1"/>
    <col min="3" max="6" width="15.140625" bestFit="1" customWidth="1"/>
  </cols>
  <sheetData>
    <row r="1" spans="1:6" x14ac:dyDescent="0.25">
      <c r="B1" s="11" t="s">
        <v>5</v>
      </c>
    </row>
    <row r="2" spans="1:6" x14ac:dyDescent="0.25">
      <c r="B2" s="25" t="s">
        <v>3</v>
      </c>
      <c r="C2" s="26">
        <v>2022</v>
      </c>
      <c r="D2" s="26">
        <f>C2+1</f>
        <v>2023</v>
      </c>
      <c r="E2" s="26">
        <f t="shared" ref="E2:F2" si="0">D2+1</f>
        <v>2024</v>
      </c>
      <c r="F2" s="26">
        <f t="shared" si="0"/>
        <v>2025</v>
      </c>
    </row>
    <row r="3" spans="1:6" x14ac:dyDescent="0.25">
      <c r="B3" s="2" t="s">
        <v>0</v>
      </c>
      <c r="C3" s="4">
        <v>214593721.75099999</v>
      </c>
      <c r="D3" s="4">
        <v>222891525.89999998</v>
      </c>
      <c r="E3" s="4">
        <v>225213310.46999997</v>
      </c>
      <c r="F3" s="4">
        <v>244340765.2692543</v>
      </c>
    </row>
    <row r="4" spans="1:6" x14ac:dyDescent="0.25">
      <c r="B4" s="2" t="s">
        <v>1</v>
      </c>
      <c r="C4" s="4">
        <v>22423419.369286381</v>
      </c>
      <c r="D4" s="4">
        <v>27197350.936901104</v>
      </c>
      <c r="E4" s="4">
        <v>35107209.158546627</v>
      </c>
      <c r="F4" s="4">
        <v>39872877.764709458</v>
      </c>
    </row>
    <row r="5" spans="1:6" x14ac:dyDescent="0.25">
      <c r="B5" s="2" t="s">
        <v>2</v>
      </c>
      <c r="C5" s="4">
        <v>2373264.6516855462</v>
      </c>
      <c r="D5" s="4">
        <v>2601600.5310210651</v>
      </c>
      <c r="E5" s="4">
        <v>2442007.354320806</v>
      </c>
      <c r="F5" s="4">
        <v>2631196.8159629717</v>
      </c>
    </row>
    <row r="6" spans="1:6" x14ac:dyDescent="0.25">
      <c r="B6" s="2" t="s">
        <v>6</v>
      </c>
      <c r="C6" s="4">
        <v>34818098.209225081</v>
      </c>
      <c r="D6" s="4">
        <v>31003529.699999999</v>
      </c>
      <c r="E6" s="4">
        <v>25342315.18</v>
      </c>
      <c r="F6" s="4">
        <v>24038539.129999999</v>
      </c>
    </row>
    <row r="7" spans="1:6" x14ac:dyDescent="0.25">
      <c r="B7" s="5" t="s">
        <v>7</v>
      </c>
      <c r="C7" s="6">
        <v>2295047.1098273005</v>
      </c>
      <c r="D7" s="6">
        <v>54966845.540300928</v>
      </c>
      <c r="E7" s="6">
        <v>2153271.4888428957</v>
      </c>
      <c r="F7" s="6">
        <v>2430759.1282138703</v>
      </c>
    </row>
    <row r="8" spans="1:6" x14ac:dyDescent="0.25">
      <c r="B8" s="2" t="s">
        <v>4</v>
      </c>
    </row>
    <row r="10" spans="1:6" x14ac:dyDescent="0.25">
      <c r="B10" s="13" t="s">
        <v>13</v>
      </c>
    </row>
    <row r="11" spans="1:6" x14ac:dyDescent="0.25">
      <c r="A11" s="15"/>
      <c r="B11" s="25" t="s">
        <v>15</v>
      </c>
      <c r="C11" s="26">
        <v>2022</v>
      </c>
      <c r="D11" s="26">
        <f>C11+1</f>
        <v>2023</v>
      </c>
      <c r="E11" s="26">
        <f>D11+1</f>
        <v>2024</v>
      </c>
      <c r="F11" s="26">
        <f>E11+1</f>
        <v>2025</v>
      </c>
    </row>
    <row r="12" spans="1:6" x14ac:dyDescent="0.25">
      <c r="A12" s="17"/>
      <c r="B12" s="2" t="s">
        <v>9</v>
      </c>
      <c r="C12" s="7">
        <v>10539513.08642</v>
      </c>
      <c r="D12" s="7">
        <v>12043370.753737997</v>
      </c>
      <c r="E12" s="7">
        <v>11977691.72518</v>
      </c>
      <c r="F12" s="7">
        <v>9833190.6765909996</v>
      </c>
    </row>
    <row r="13" spans="1:6" x14ac:dyDescent="0.25">
      <c r="A13" s="15"/>
      <c r="B13" s="2" t="s">
        <v>8</v>
      </c>
      <c r="C13" s="7">
        <v>33870110</v>
      </c>
      <c r="D13" s="7">
        <v>19343243.780000001</v>
      </c>
      <c r="E13" s="7">
        <v>22155404.374531992</v>
      </c>
      <c r="F13" s="7">
        <v>27321443.960000001</v>
      </c>
    </row>
    <row r="14" spans="1:6" x14ac:dyDescent="0.25">
      <c r="A14" s="12"/>
      <c r="B14" s="2" t="s">
        <v>10</v>
      </c>
      <c r="C14" s="7">
        <v>4265614.59</v>
      </c>
      <c r="D14" s="7">
        <v>4014851.06</v>
      </c>
      <c r="E14" s="7">
        <v>3425235.81</v>
      </c>
      <c r="F14" s="9">
        <v>3120951.31</v>
      </c>
    </row>
    <row r="15" spans="1:6" x14ac:dyDescent="0.25">
      <c r="A15" s="12"/>
      <c r="B15" s="2" t="s">
        <v>11</v>
      </c>
      <c r="C15" s="7">
        <v>5856.0756379999993</v>
      </c>
      <c r="D15" s="7">
        <v>271759.99</v>
      </c>
      <c r="E15" s="7">
        <v>534030.30000000005</v>
      </c>
      <c r="F15" s="7">
        <v>984481.15</v>
      </c>
    </row>
    <row r="16" spans="1:6" x14ac:dyDescent="0.25">
      <c r="A16" s="12"/>
      <c r="B16" s="5" t="s">
        <v>12</v>
      </c>
      <c r="C16" s="8">
        <v>1824455.25</v>
      </c>
      <c r="D16" s="8">
        <v>1914419.35</v>
      </c>
      <c r="E16" s="8">
        <v>1680089.66</v>
      </c>
      <c r="F16" s="8">
        <v>1761356.81</v>
      </c>
    </row>
    <row r="17" spans="2:6" x14ac:dyDescent="0.25">
      <c r="B17" s="2" t="s">
        <v>4</v>
      </c>
    </row>
    <row r="19" spans="2:6" x14ac:dyDescent="0.25">
      <c r="B19" s="13" t="s">
        <v>14</v>
      </c>
    </row>
    <row r="20" spans="2:6" x14ac:dyDescent="0.25">
      <c r="B20" s="25" t="s">
        <v>15</v>
      </c>
      <c r="C20" s="26">
        <v>2022</v>
      </c>
      <c r="D20" s="26">
        <f>C20+1</f>
        <v>2023</v>
      </c>
      <c r="E20" s="26">
        <f>D20+1</f>
        <v>2024</v>
      </c>
      <c r="F20" s="26">
        <f>E20+1</f>
        <v>2025</v>
      </c>
    </row>
    <row r="21" spans="2:6" x14ac:dyDescent="0.25">
      <c r="B21" s="2" t="s">
        <v>9</v>
      </c>
      <c r="C21" s="14">
        <v>1642035</v>
      </c>
      <c r="D21" s="14">
        <v>2661305</v>
      </c>
      <c r="E21" s="14">
        <v>2501622</v>
      </c>
      <c r="F21" s="14">
        <v>7572145</v>
      </c>
    </row>
    <row r="22" spans="2:6" x14ac:dyDescent="0.25">
      <c r="B22" s="2" t="s">
        <v>8</v>
      </c>
      <c r="C22" s="14">
        <v>0</v>
      </c>
      <c r="D22" s="14">
        <v>0</v>
      </c>
      <c r="E22" s="14">
        <v>0</v>
      </c>
      <c r="F22" s="14">
        <v>0</v>
      </c>
    </row>
    <row r="23" spans="2:6" x14ac:dyDescent="0.25">
      <c r="B23" s="2" t="s">
        <v>10</v>
      </c>
      <c r="C23" s="14">
        <v>871116</v>
      </c>
      <c r="D23" s="14">
        <v>921964</v>
      </c>
      <c r="E23" s="14">
        <v>852453</v>
      </c>
      <c r="F23" s="14">
        <v>621661</v>
      </c>
    </row>
    <row r="24" spans="2:6" x14ac:dyDescent="0.25">
      <c r="B24" s="2" t="s">
        <v>11</v>
      </c>
      <c r="C24">
        <v>382</v>
      </c>
      <c r="D24" s="14">
        <v>86484</v>
      </c>
      <c r="E24" s="14">
        <v>238144</v>
      </c>
      <c r="F24" s="14">
        <v>221333</v>
      </c>
    </row>
    <row r="25" spans="2:6" x14ac:dyDescent="0.25">
      <c r="B25" s="5" t="s">
        <v>12</v>
      </c>
      <c r="C25" s="10">
        <v>305246</v>
      </c>
      <c r="D25" s="10">
        <v>303933</v>
      </c>
      <c r="E25" s="10">
        <v>252745</v>
      </c>
      <c r="F25" s="10">
        <v>250981</v>
      </c>
    </row>
    <row r="26" spans="2:6" x14ac:dyDescent="0.25">
      <c r="B26" s="2" t="s">
        <v>16</v>
      </c>
    </row>
    <row r="28" spans="2:6" x14ac:dyDescent="0.25">
      <c r="B28" s="13" t="s">
        <v>20</v>
      </c>
    </row>
    <row r="29" spans="2:6" x14ac:dyDescent="0.25">
      <c r="B29" s="25" t="s">
        <v>15</v>
      </c>
      <c r="C29" s="26">
        <v>2022</v>
      </c>
      <c r="D29" s="26">
        <f>C29+1</f>
        <v>2023</v>
      </c>
      <c r="E29" s="26">
        <f>D29+1</f>
        <v>2024</v>
      </c>
      <c r="F29" s="26">
        <f>E29+1</f>
        <v>2025</v>
      </c>
    </row>
    <row r="30" spans="2:6" x14ac:dyDescent="0.25">
      <c r="B30" s="1" t="s">
        <v>17</v>
      </c>
      <c r="C30" s="7">
        <v>1924455.8186689999</v>
      </c>
      <c r="D30" s="7">
        <v>2176218.0977729997</v>
      </c>
      <c r="E30" s="7">
        <v>2427016.83</v>
      </c>
      <c r="F30" s="7">
        <v>2513243.926</v>
      </c>
    </row>
    <row r="31" spans="2:6" x14ac:dyDescent="0.25">
      <c r="B31" s="1" t="s">
        <v>18</v>
      </c>
      <c r="C31" s="27" t="s">
        <v>19</v>
      </c>
      <c r="D31" s="27"/>
      <c r="E31" s="27"/>
      <c r="F31" s="27"/>
    </row>
    <row r="32" spans="2:6" x14ac:dyDescent="0.25">
      <c r="B32" s="20" t="s">
        <v>22</v>
      </c>
      <c r="C32" s="8">
        <v>153539.88696170773</v>
      </c>
      <c r="D32" s="8">
        <v>188799.294272</v>
      </c>
      <c r="E32" s="8">
        <v>215683.99616000001</v>
      </c>
      <c r="F32" s="8">
        <v>145725.55666599999</v>
      </c>
    </row>
    <row r="33" spans="2:6" x14ac:dyDescent="0.25">
      <c r="B33" s="2" t="s">
        <v>4</v>
      </c>
      <c r="C33" s="18"/>
      <c r="D33" s="18"/>
      <c r="E33" s="18"/>
      <c r="F33" s="18"/>
    </row>
    <row r="35" spans="2:6" x14ac:dyDescent="0.25">
      <c r="B35" s="13" t="s">
        <v>21</v>
      </c>
    </row>
    <row r="36" spans="2:6" x14ac:dyDescent="0.25">
      <c r="B36" s="25" t="s">
        <v>15</v>
      </c>
      <c r="C36" s="26">
        <v>2022</v>
      </c>
      <c r="D36" s="26">
        <f>C36+1</f>
        <v>2023</v>
      </c>
      <c r="E36" s="26">
        <f>D36+1</f>
        <v>2024</v>
      </c>
      <c r="F36" s="26">
        <f>E36+1</f>
        <v>2025</v>
      </c>
    </row>
    <row r="37" spans="2:6" x14ac:dyDescent="0.25">
      <c r="B37" s="1" t="s">
        <v>17</v>
      </c>
      <c r="C37" s="19">
        <v>327858</v>
      </c>
      <c r="D37" s="19">
        <v>355202</v>
      </c>
      <c r="E37" s="19">
        <v>317368</v>
      </c>
      <c r="F37" s="19">
        <v>418149</v>
      </c>
    </row>
    <row r="38" spans="2:6" x14ac:dyDescent="0.25">
      <c r="B38" s="1" t="s">
        <v>18</v>
      </c>
      <c r="C38" s="28" t="s">
        <v>19</v>
      </c>
      <c r="D38" s="28"/>
      <c r="E38" s="28"/>
      <c r="F38" s="28"/>
    </row>
    <row r="39" spans="2:6" x14ac:dyDescent="0.25">
      <c r="B39" s="20" t="s">
        <v>22</v>
      </c>
      <c r="C39" s="16">
        <v>233364</v>
      </c>
      <c r="D39" s="16">
        <v>187898</v>
      </c>
      <c r="E39" s="16">
        <v>213602</v>
      </c>
      <c r="F39" s="16">
        <v>135276</v>
      </c>
    </row>
    <row r="40" spans="2:6" x14ac:dyDescent="0.25">
      <c r="B40" s="2" t="s">
        <v>16</v>
      </c>
    </row>
    <row r="41" spans="2:6" x14ac:dyDescent="0.25">
      <c r="B41" s="2"/>
    </row>
    <row r="42" spans="2:6" x14ac:dyDescent="0.25">
      <c r="B42" s="23" t="s">
        <v>31</v>
      </c>
    </row>
    <row r="43" spans="2:6" x14ac:dyDescent="0.25">
      <c r="B43" s="25" t="s">
        <v>23</v>
      </c>
      <c r="C43" s="25" t="s">
        <v>27</v>
      </c>
      <c r="D43" s="25" t="s">
        <v>28</v>
      </c>
    </row>
    <row r="44" spans="2:6" x14ac:dyDescent="0.25">
      <c r="B44" s="21">
        <v>2022</v>
      </c>
      <c r="C44" s="3">
        <v>25.497058819999999</v>
      </c>
      <c r="D44" s="3">
        <v>2209035.2572134943</v>
      </c>
    </row>
    <row r="45" spans="2:6" x14ac:dyDescent="0.25">
      <c r="B45" s="21">
        <f>B44+1</f>
        <v>2023</v>
      </c>
      <c r="C45" s="3">
        <v>29.493684210000001</v>
      </c>
      <c r="D45" s="3">
        <v>2405712.5825554319</v>
      </c>
    </row>
    <row r="46" spans="2:6" x14ac:dyDescent="0.25">
      <c r="B46" s="21">
        <f>B45+1</f>
        <v>2024</v>
      </c>
      <c r="C46" s="3">
        <v>21.733211109999999</v>
      </c>
      <c r="D46" s="3">
        <v>2507943.5487571899</v>
      </c>
    </row>
    <row r="47" spans="2:6" x14ac:dyDescent="0.25">
      <c r="B47" s="22">
        <f>B46+1</f>
        <v>2025</v>
      </c>
      <c r="C47" s="6">
        <v>25.217826089999999</v>
      </c>
      <c r="D47" s="6">
        <v>2598034.8059895737</v>
      </c>
    </row>
    <row r="48" spans="2:6" x14ac:dyDescent="0.25">
      <c r="B48" s="2" t="s">
        <v>29</v>
      </c>
    </row>
    <row r="49" spans="2:4" x14ac:dyDescent="0.25">
      <c r="B49" s="2"/>
    </row>
    <row r="50" spans="2:4" x14ac:dyDescent="0.25">
      <c r="B50" s="23" t="s">
        <v>32</v>
      </c>
    </row>
    <row r="51" spans="2:4" x14ac:dyDescent="0.25">
      <c r="B51" s="25" t="s">
        <v>23</v>
      </c>
      <c r="C51" s="29" t="s">
        <v>24</v>
      </c>
      <c r="D51" s="29" t="s">
        <v>30</v>
      </c>
    </row>
    <row r="52" spans="2:4" x14ac:dyDescent="0.25">
      <c r="B52" s="21">
        <v>2022</v>
      </c>
      <c r="C52" s="14">
        <v>373857</v>
      </c>
      <c r="D52" s="14">
        <v>101281</v>
      </c>
    </row>
    <row r="53" spans="2:4" x14ac:dyDescent="0.25">
      <c r="B53" s="21">
        <f>B52+1</f>
        <v>2023</v>
      </c>
      <c r="C53" s="14">
        <v>340767</v>
      </c>
      <c r="D53" s="14">
        <v>91006</v>
      </c>
    </row>
    <row r="54" spans="2:4" x14ac:dyDescent="0.25">
      <c r="B54" s="21">
        <f>B53+1</f>
        <v>2024</v>
      </c>
      <c r="C54" s="14">
        <v>297306</v>
      </c>
      <c r="D54" s="14">
        <v>77753</v>
      </c>
    </row>
    <row r="55" spans="2:4" x14ac:dyDescent="0.25">
      <c r="B55" s="22">
        <f>B54+1</f>
        <v>2025</v>
      </c>
      <c r="C55" s="10">
        <v>266142</v>
      </c>
      <c r="D55" s="10">
        <v>13400</v>
      </c>
    </row>
    <row r="56" spans="2:4" x14ac:dyDescent="0.25">
      <c r="B56" s="2" t="s">
        <v>16</v>
      </c>
    </row>
    <row r="57" spans="2:4" x14ac:dyDescent="0.25">
      <c r="B57" s="2"/>
    </row>
    <row r="58" spans="2:4" x14ac:dyDescent="0.25">
      <c r="B58" s="23" t="s">
        <v>33</v>
      </c>
    </row>
    <row r="59" spans="2:4" x14ac:dyDescent="0.25">
      <c r="B59" s="25" t="s">
        <v>23</v>
      </c>
      <c r="C59" s="26" t="s">
        <v>24</v>
      </c>
    </row>
    <row r="60" spans="2:4" x14ac:dyDescent="0.25">
      <c r="B60" s="21">
        <v>2022</v>
      </c>
      <c r="C60" s="14">
        <v>35309</v>
      </c>
    </row>
    <row r="61" spans="2:4" x14ac:dyDescent="0.25">
      <c r="B61" s="21">
        <f>B60+1</f>
        <v>2023</v>
      </c>
      <c r="C61" s="14">
        <v>24454</v>
      </c>
    </row>
    <row r="62" spans="2:4" x14ac:dyDescent="0.25">
      <c r="B62" s="21">
        <f>B61+1</f>
        <v>2024</v>
      </c>
      <c r="C62" s="14">
        <v>22249</v>
      </c>
    </row>
    <row r="63" spans="2:4" x14ac:dyDescent="0.25">
      <c r="B63" s="22">
        <f>B62+1</f>
        <v>2025</v>
      </c>
      <c r="C63" s="16">
        <v>34349</v>
      </c>
    </row>
    <row r="64" spans="2:4" x14ac:dyDescent="0.25">
      <c r="B64" s="2" t="s">
        <v>16</v>
      </c>
    </row>
    <row r="66" spans="2:5" x14ac:dyDescent="0.25">
      <c r="B66" s="23" t="s">
        <v>34</v>
      </c>
    </row>
    <row r="67" spans="2:5" x14ac:dyDescent="0.25">
      <c r="B67" s="25" t="s">
        <v>23</v>
      </c>
      <c r="C67" s="25" t="s">
        <v>25</v>
      </c>
      <c r="D67" s="25" t="s">
        <v>26</v>
      </c>
    </row>
    <row r="68" spans="2:5" x14ac:dyDescent="0.25">
      <c r="B68" s="21">
        <v>2022</v>
      </c>
      <c r="C68" s="3">
        <v>9062.9954158799992</v>
      </c>
      <c r="D68" s="3">
        <v>6940.0432481199987</v>
      </c>
    </row>
    <row r="69" spans="2:5" x14ac:dyDescent="0.25">
      <c r="B69" s="21">
        <f>B68+1</f>
        <v>2023</v>
      </c>
      <c r="C69" s="3">
        <v>13220.646677728</v>
      </c>
      <c r="D69" s="3">
        <v>9548.2575404720028</v>
      </c>
    </row>
    <row r="70" spans="2:5" x14ac:dyDescent="0.25">
      <c r="B70" s="21">
        <f>B69+1</f>
        <v>2024</v>
      </c>
      <c r="C70" s="3">
        <v>18537.341920440998</v>
      </c>
      <c r="D70" s="3">
        <v>22347.783323908996</v>
      </c>
    </row>
    <row r="71" spans="2:5" x14ac:dyDescent="0.25">
      <c r="B71" s="22">
        <f>B70+1</f>
        <v>2025</v>
      </c>
      <c r="C71" s="6">
        <v>24740.870025725006</v>
      </c>
      <c r="D71" s="6">
        <v>55851.809943216998</v>
      </c>
    </row>
    <row r="72" spans="2:5" x14ac:dyDescent="0.25">
      <c r="B72" s="2" t="s">
        <v>4</v>
      </c>
    </row>
    <row r="74" spans="2:5" x14ac:dyDescent="0.25">
      <c r="E74" s="24"/>
    </row>
  </sheetData>
  <mergeCells count="2">
    <mergeCell ref="C31:F31"/>
    <mergeCell ref="C38:F38"/>
  </mergeCells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AD2EDE5ECAFD49900DEBA28B0AACD0" ma:contentTypeVersion="12" ma:contentTypeDescription="Crear nuevo documento." ma:contentTypeScope="" ma:versionID="683a7e708db33987b23f0131bc45c515">
  <xsd:schema xmlns:xsd="http://www.w3.org/2001/XMLSchema" xmlns:xs="http://www.w3.org/2001/XMLSchema" xmlns:p="http://schemas.microsoft.com/office/2006/metadata/properties" xmlns:ns2="5fdba1ae-a24c-4db9-b7fe-59f8cc028e3a" xmlns:ns3="7edb041f-d5fd-44c3-8705-ccdf9cbe0b0a" targetNamespace="http://schemas.microsoft.com/office/2006/metadata/properties" ma:root="true" ma:fieldsID="a32331f7ffa31043f825f640480e5b4a" ns2:_="" ns3:_="">
    <xsd:import namespace="5fdba1ae-a24c-4db9-b7fe-59f8cc028e3a"/>
    <xsd:import namespace="7edb041f-d5fd-44c3-8705-ccdf9cbe0b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ba1ae-a24c-4db9-b7fe-59f8cc028e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e3766d-f394-4e2b-979c-251ccb5b2b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b041f-d5fd-44c3-8705-ccdf9cbe0b0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4c4f6e-73e7-4c95-ba5a-6de8734f1eb5}" ma:internalName="TaxCatchAll" ma:showField="CatchAllData" ma:web="7edb041f-d5fd-44c3-8705-ccdf9cbe0b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dba1ae-a24c-4db9-b7fe-59f8cc028e3a">
      <Terms xmlns="http://schemas.microsoft.com/office/infopath/2007/PartnerControls"/>
    </lcf76f155ced4ddcb4097134ff3c332f>
    <TaxCatchAll xmlns="7edb041f-d5fd-44c3-8705-ccdf9cbe0b0a" xsi:nil="true"/>
  </documentManagement>
</p:properties>
</file>

<file path=customXml/itemProps1.xml><?xml version="1.0" encoding="utf-8"?>
<ds:datastoreItem xmlns:ds="http://schemas.openxmlformats.org/officeDocument/2006/customXml" ds:itemID="{D1F19E79-F4F2-48C0-9BF6-B434E3013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dba1ae-a24c-4db9-b7fe-59f8cc028e3a"/>
    <ds:schemaRef ds:uri="7edb041f-d5fd-44c3-8705-ccdf9cbe0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D6C9-04F0-41C8-B68C-334227342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1E28FA-5845-4ADA-97F6-76045B6A0BCC}">
  <ds:schemaRefs>
    <ds:schemaRef ds:uri="http://schemas.microsoft.com/office/2006/metadata/properties"/>
    <ds:schemaRef ds:uri="http://schemas.microsoft.com/office/infopath/2007/PartnerControls"/>
    <ds:schemaRef ds:uri="5fdba1ae-a24c-4db9-b7fe-59f8cc028e3a"/>
    <ds:schemaRef ds:uri="7edb041f-d5fd-44c3-8705-ccdf9cbe0b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Lizbeth Verdugo Felix</dc:creator>
  <cp:lastModifiedBy>Nadia Lizbeth Verdugo Felix</cp:lastModifiedBy>
  <dcterms:created xsi:type="dcterms:W3CDTF">2026-03-05T15:51:23Z</dcterms:created>
  <dcterms:modified xsi:type="dcterms:W3CDTF">2026-03-06T23:19:41Z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0x0101008CAD2EDE5ECAFD49900DEBA28B0AACD0</vt:lpwstr>
  </property>
  <property fmtid="{D5CDD505-2E9C-101B-9397-08002B2CF9AE}" pid="3" name="MediaServiceImageTags">
    <vt:lpwstr/>
  </property>
</Properties>
</file>